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/>
  <mc:AlternateContent xmlns:mc="http://schemas.openxmlformats.org/markup-compatibility/2006">
    <mc:Choice Requires="x15">
      <x15ac:absPath xmlns:x15ac="http://schemas.microsoft.com/office/spreadsheetml/2010/11/ac" url="C:\Users\js\Desktop\dev\w2o-salada\"/>
    </mc:Choice>
  </mc:AlternateContent>
  <xr:revisionPtr revIDLastSave="0" documentId="13_ncr:1_{324B5B5F-C3AD-4763-AECA-5FE87A4AEDD2}" xr6:coauthVersionLast="47" xr6:coauthVersionMax="47" xr10:uidLastSave="{00000000-0000-0000-0000-000000000000}"/>
  <bookViews>
    <workbookView xWindow="30240" yWindow="15" windowWidth="27165" windowHeight="15240" activeTab="2" xr2:uid="{00000000-000D-0000-FFFF-FFFF00000000}"/>
  </bookViews>
  <sheets>
    <sheet name="가정값" sheetId="1" r:id="rId1"/>
    <sheet name="손익" sheetId="2" r:id="rId2"/>
    <sheet name="손익분기" sheetId="3" r:id="rId3"/>
  </sheets>
  <calcPr calcId="191029"/>
</workbook>
</file>

<file path=xl/calcChain.xml><?xml version="1.0" encoding="utf-8"?>
<calcChain xmlns="http://schemas.openxmlformats.org/spreadsheetml/2006/main">
  <c r="C26" i="2" l="1"/>
  <c r="C24" i="2"/>
  <c r="C22" i="2"/>
  <c r="C27" i="2" s="1"/>
  <c r="C21" i="2"/>
  <c r="C14" i="2"/>
  <c r="C13" i="2"/>
  <c r="C12" i="2"/>
  <c r="C11" i="2"/>
  <c r="C9" i="2"/>
  <c r="C4" i="2"/>
  <c r="C5" i="2" s="1"/>
  <c r="C7" i="2" l="1"/>
  <c r="F19" i="3"/>
  <c r="F17" i="3"/>
  <c r="F15" i="3"/>
  <c r="F13" i="3"/>
  <c r="F18" i="3"/>
  <c r="F16" i="3"/>
  <c r="F14" i="3"/>
  <c r="F12" i="3"/>
  <c r="C12" i="3"/>
  <c r="C14" i="3"/>
  <c r="C16" i="3"/>
  <c r="C18" i="3"/>
  <c r="C13" i="3"/>
  <c r="C15" i="3"/>
  <c r="C17" i="3"/>
  <c r="C19" i="3"/>
  <c r="C10" i="2"/>
  <c r="C15" i="2" s="1"/>
  <c r="D17" i="3" l="1"/>
  <c r="D15" i="3"/>
  <c r="C17" i="2"/>
  <c r="E19" i="3" s="1"/>
  <c r="G19" i="3" s="1"/>
  <c r="H19" i="3" s="1"/>
  <c r="D19" i="3"/>
  <c r="E13" i="3"/>
  <c r="G13" i="3" s="1"/>
  <c r="H13" i="3" s="1"/>
  <c r="D13" i="3"/>
  <c r="E18" i="3"/>
  <c r="G18" i="3" s="1"/>
  <c r="H18" i="3" s="1"/>
  <c r="D18" i="3"/>
  <c r="D16" i="3"/>
  <c r="D14" i="3"/>
  <c r="D12" i="3"/>
  <c r="C19" i="2" l="1"/>
  <c r="C29" i="2" s="1"/>
  <c r="C18" i="2"/>
  <c r="C4" i="3"/>
  <c r="E12" i="3"/>
  <c r="G12" i="3" s="1"/>
  <c r="H12" i="3" s="1"/>
  <c r="E14" i="3"/>
  <c r="G14" i="3" s="1"/>
  <c r="H14" i="3" s="1"/>
  <c r="E15" i="3"/>
  <c r="G15" i="3" s="1"/>
  <c r="H15" i="3" s="1"/>
  <c r="E16" i="3"/>
  <c r="G16" i="3" s="1"/>
  <c r="H16" i="3" s="1"/>
  <c r="E17" i="3"/>
  <c r="G17" i="3" s="1"/>
  <c r="H17" i="3" s="1"/>
  <c r="C6" i="3" l="1"/>
  <c r="C5" i="3"/>
  <c r="C7" i="3"/>
  <c r="C8" i="3"/>
  <c r="C30" i="2"/>
</calcChain>
</file>

<file path=xl/sharedStrings.xml><?xml version="1.0" encoding="utf-8"?>
<sst xmlns="http://schemas.openxmlformats.org/spreadsheetml/2006/main" count="106" uniqueCount="87">
  <si>
    <t>W2O SALADA · 새벽배송 손익분기 시뮬레이터</t>
  </si>
  <si>
    <t>노란 셀 = 직접 입력하는 가정값 · 나머지 시트는 자동 계산됩니다 (주 2회 화·목 배송 기준)</t>
  </si>
  <si>
    <t>① 매출 가정</t>
  </si>
  <si>
    <t>객단가 (평균 결제액)</t>
  </si>
  <si>
    <t>원</t>
  </si>
  <si>
    <t>본품 최소 11,000원 + 음료·추가구성 평균. 업계 샐러드 새벽배송 1.5~2.5만</t>
  </si>
  <si>
    <t>배송일당 주문 수</t>
  </si>
  <si>
    <t>건</t>
  </si>
  <si>
    <t>이 값을 바꿔가며 손익분기 확인 (기본 시나리오)</t>
  </si>
  <si>
    <t>주 배송 횟수</t>
  </si>
  <si>
    <t>회</t>
  </si>
  <si>
    <t>화·목 = 2회 (Weekly 2 Order)</t>
  </si>
  <si>
    <t>월 평균 주 수</t>
  </si>
  <si>
    <t>주</t>
  </si>
  <si>
    <t>52주 ÷ 12개월 = 4.345</t>
  </si>
  <si>
    <t>② 변동비 가정 (주문 1건당)</t>
  </si>
  <si>
    <t>식자재 원가율</t>
  </si>
  <si>
    <t>%</t>
  </si>
  <si>
    <t>샐러드·신선 HMR 통상 35~42%</t>
  </si>
  <si>
    <t>폐기율 (식자재 대비)</t>
  </si>
  <si>
    <t>예측생산 신선식품 통상 3~8%</t>
  </si>
  <si>
    <t>건당 포장재비</t>
  </si>
  <si>
    <t>보냉박스+아이스팩+용기 (비회수 기준)</t>
  </si>
  <si>
    <t>건당 위탁 배송비</t>
  </si>
  <si>
    <t>새벽배송 3PL 위탁 단가 통상 3,000~4,500</t>
  </si>
  <si>
    <t>PG 수수료율</t>
  </si>
  <si>
    <t>토스페이먼츠 약 3.3%</t>
  </si>
  <si>
    <t>건당 알림톡비</t>
  </si>
  <si>
    <t>주문완료+출발+완료 3건 × 12~15원</t>
  </si>
  <si>
    <t>③ 고정비 가정 (월)</t>
  </si>
  <si>
    <t>주방 임대·관리비</t>
  </si>
  <si>
    <t>공유주방~소형 센터 초기 기준</t>
  </si>
  <si>
    <t>인건비</t>
  </si>
  <si>
    <t>조리·포장·CS 4~5명 초기 소규모</t>
  </si>
  <si>
    <t>차량·냉장설비</t>
  </si>
  <si>
    <t>리스·유지·냉장 인프라</t>
  </si>
  <si>
    <t>마케팅비</t>
  </si>
  <si>
    <t>신규 유입 광고 (초기 공격 시 ↑)</t>
  </si>
  <si>
    <t>기타 운영비</t>
  </si>
  <si>
    <t>SW·결제·보험·잡비</t>
  </si>
  <si>
    <t>월간 손익계산서 (현재 가정값 기준)</t>
  </si>
  <si>
    <t>물량</t>
  </si>
  <si>
    <t>월 배송일 수</t>
  </si>
  <si>
    <t>주 배송횟수 × 월평균주수</t>
  </si>
  <si>
    <t>월 주문 건수</t>
  </si>
  <si>
    <t>배송일당 주문수 × 월 배송일수</t>
  </si>
  <si>
    <t>매출</t>
  </si>
  <si>
    <t>월 매출액</t>
  </si>
  <si>
    <t>객단가 × 월 주문건수</t>
  </si>
  <si>
    <t>변동비 (주문 1건당)</t>
  </si>
  <si>
    <t>식자재비</t>
  </si>
  <si>
    <t>객단가 × 원가율</t>
  </si>
  <si>
    <t>폐기 손실</t>
  </si>
  <si>
    <t>식자재비 × 폐기율</t>
  </si>
  <si>
    <t>포장재비</t>
  </si>
  <si>
    <t>위탁 배송비</t>
  </si>
  <si>
    <t>PG 수수료</t>
  </si>
  <si>
    <t>객단가 × PG율</t>
  </si>
  <si>
    <t>알림톡비</t>
  </si>
  <si>
    <t>건당 변동비 합계</t>
  </si>
  <si>
    <t>공헌이익</t>
  </si>
  <si>
    <t>건당 공헌이익</t>
  </si>
  <si>
    <t>객단가 − 건당 변동비</t>
  </si>
  <si>
    <t>공헌이익률</t>
  </si>
  <si>
    <t>월 공헌이익</t>
  </si>
  <si>
    <t>고정비 (월)</t>
  </si>
  <si>
    <t>월 고정비 합계</t>
  </si>
  <si>
    <t>영업손익</t>
  </si>
  <si>
    <t>월 영업이익</t>
  </si>
  <si>
    <t>월 공헌이익 − 월 고정비</t>
  </si>
  <si>
    <t>영업이익률</t>
  </si>
  <si>
    <t>손익분기점 (BEP) 분석</t>
  </si>
  <si>
    <t>핵심 지표</t>
  </si>
  <si>
    <t>손익분기 월 주문건수</t>
  </si>
  <si>
    <t>손익분기 배송일당 주문수</t>
  </si>
  <si>
    <t>손익분기 월 매출액</t>
  </si>
  <si>
    <t>현재 가정 대비 안전마진</t>
  </si>
  <si>
    <t>현재 가정 손익 상태</t>
  </si>
  <si>
    <t>민감도 — 배송일당 주문 수별 월 영업이익</t>
  </si>
  <si>
    <t>배송일당 주문수</t>
  </si>
  <si>
    <t>월 주문건수</t>
  </si>
  <si>
    <t>월 매출</t>
  </si>
  <si>
    <t>월 고정비</t>
  </si>
  <si>
    <t>손익</t>
  </si>
  <si>
    <t>※ 노란 셀(가정값 시트)을 바꾸면 모든 수치가 자동 재계산됩니다.</t>
  </si>
  <si>
    <t>관리자인건비</t>
    <phoneticPr fontId="8" type="noConversion"/>
  </si>
  <si>
    <t>상황관리자 및 기타</t>
    <phoneticPr fontId="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</si>
</sst>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0.0"/>
    <numFmt numFmtId="177" formatCode="0.0%"/>
    <numFmt numFmtId="178" formatCode="#,##0&quot;원&quot;"/>
  </numFmts>
  <fonts count="9" x14ac:knownFonts="1">
    <font>
      <sz val="11"/>
      <color theme="1"/>
      <name val="맑은 고딕"/>
      <family val="2"/>
      <scheme val="minor"/>
    </font>
    <font>
      <b/>
      <sz val="15"/>
      <color rgb="FFFFFFFF"/>
      <name val="맑은 고딕"/>
      <family val="3"/>
      <charset val="129"/>
    </font>
    <font>
      <i/>
      <sz val="9"/>
      <color rgb="FF6B7280"/>
      <name val="맑은 고딕"/>
      <family val="3"/>
      <charset val="129"/>
    </font>
    <font>
      <b/>
      <sz val="11"/>
      <color rgb="FF0A1A0F"/>
      <name val="맑은 고딕"/>
      <family val="3"/>
      <charset val="129"/>
    </font>
    <font>
      <sz val="10"/>
      <name val="맑은 고딕"/>
      <family val="3"/>
      <charset val="129"/>
    </font>
    <font>
      <b/>
      <sz val="10"/>
      <color rgb="FF9C5700"/>
      <name val="맑은 고딕"/>
      <family val="3"/>
      <charset val="129"/>
    </font>
    <font>
      <b/>
      <sz val="11"/>
      <name val="맑은 고딕"/>
      <family val="3"/>
      <charset val="129"/>
    </font>
    <font>
      <b/>
      <sz val="9"/>
      <color rgb="FFFFFFFF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rgb="FF1D9E75"/>
      </patternFill>
    </fill>
    <fill>
      <patternFill patternType="solid">
        <fgColor rgb="FFC8EDDD"/>
      </patternFill>
    </fill>
    <fill>
      <patternFill patternType="solid">
        <fgColor rgb="FFFFF3C4"/>
      </patternFill>
    </fill>
    <fill>
      <patternFill patternType="solid">
        <fgColor rgb="FFEAF6F1"/>
      </patternFill>
    </fill>
  </fills>
  <borders count="2">
    <border>
      <left/>
      <right/>
      <top/>
      <bottom/>
      <diagonal/>
    </border>
    <border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2" fillId="0" borderId="0" xfId="0" applyFont="1"/>
    <xf numFmtId="0" fontId="4" fillId="0" borderId="0" xfId="0" applyFont="1"/>
    <xf numFmtId="3" fontId="5" fillId="4" borderId="1" xfId="0" applyNumberFormat="1" applyFont="1" applyFill="1" applyBorder="1" applyAlignment="1">
      <alignment horizontal="right"/>
    </xf>
    <xf numFmtId="176" fontId="5" fillId="4" borderId="1" xfId="0" applyNumberFormat="1" applyFont="1" applyFill="1" applyBorder="1" applyAlignment="1">
      <alignment horizontal="right"/>
    </xf>
    <xf numFmtId="177" fontId="5" fillId="4" borderId="1" xfId="0" applyNumberFormat="1" applyFont="1" applyFill="1" applyBorder="1" applyAlignment="1">
      <alignment horizontal="right"/>
    </xf>
    <xf numFmtId="176" fontId="4" fillId="0" borderId="1" xfId="0" applyNumberFormat="1" applyFont="1" applyBorder="1" applyAlignment="1">
      <alignment horizontal="right"/>
    </xf>
    <xf numFmtId="3" fontId="4" fillId="0" borderId="1" xfId="0" applyNumberFormat="1" applyFont="1" applyBorder="1" applyAlignment="1">
      <alignment horizontal="right"/>
    </xf>
    <xf numFmtId="0" fontId="6" fillId="5" borderId="0" xfId="0" applyFont="1" applyFill="1"/>
    <xf numFmtId="178" fontId="6" fillId="5" borderId="1" xfId="0" applyNumberFormat="1" applyFont="1" applyFill="1" applyBorder="1" applyAlignment="1">
      <alignment horizontal="right"/>
    </xf>
    <xf numFmtId="178" fontId="4" fillId="0" borderId="1" xfId="0" applyNumberFormat="1" applyFont="1" applyBorder="1" applyAlignment="1">
      <alignment horizontal="right"/>
    </xf>
    <xf numFmtId="0" fontId="6" fillId="0" borderId="0" xfId="0" applyFont="1"/>
    <xf numFmtId="177" fontId="6" fillId="0" borderId="1" xfId="0" applyNumberFormat="1" applyFont="1" applyBorder="1" applyAlignment="1">
      <alignment horizontal="right"/>
    </xf>
    <xf numFmtId="3" fontId="6" fillId="5" borderId="1" xfId="0" applyNumberFormat="1" applyFont="1" applyFill="1" applyBorder="1" applyAlignment="1">
      <alignment horizontal="right"/>
    </xf>
    <xf numFmtId="177" fontId="6" fillId="5" borderId="1" xfId="0" applyNumberFormat="1" applyFont="1" applyFill="1" applyBorder="1" applyAlignment="1">
      <alignment horizontal="right"/>
    </xf>
    <xf numFmtId="0" fontId="6" fillId="5" borderId="1" xfId="0" applyFont="1" applyFill="1" applyBorder="1" applyAlignment="1">
      <alignment horizontal="right"/>
    </xf>
    <xf numFmtId="0" fontId="7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right"/>
    </xf>
    <xf numFmtId="0" fontId="3" fillId="3" borderId="0" xfId="0" applyFont="1" applyFill="1"/>
    <xf numFmtId="0" fontId="1" fillId="2" borderId="0" xfId="0" applyFont="1" applyFill="1" applyAlignment="1">
      <alignment horizontal="center" vertical="center"/>
    </xf>
    <xf numFmtId="0" fontId="0" fillId="0" borderId="0" xfId="0"/>
    <xf numFmtId="0" fontId="2" fillId="0" borderId="0" xfId="0" applyFont="1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E22"/>
  <sheetViews>
    <sheetView showGridLines="0" workbookViewId="0">
      <selection activeCell="C21" sqref="C21"/>
    </sheetView>
  </sheetViews>
  <sheetFormatPr defaultRowHeight="16.5" x14ac:dyDescent="0.3"/>
  <cols>
    <col min="1" max="1" width="3" customWidth="1"/>
    <col min="2" max="2" width="26" customWidth="1"/>
    <col min="3" max="3" width="16" customWidth="1"/>
    <col min="4" max="4" width="10" customWidth="1"/>
    <col min="5" max="5" width="44" customWidth="1"/>
  </cols>
  <sheetData>
    <row r="1" spans="2:5" ht="30" customHeight="1" x14ac:dyDescent="0.3">
      <c r="B1" s="19" t="s">
        <v>0</v>
      </c>
      <c r="C1" s="20"/>
      <c r="D1" s="20"/>
      <c r="E1" s="20"/>
    </row>
    <row r="2" spans="2:5" x14ac:dyDescent="0.3">
      <c r="B2" s="21" t="s">
        <v>1</v>
      </c>
      <c r="C2" s="20"/>
      <c r="D2" s="20"/>
      <c r="E2" s="20"/>
    </row>
    <row r="4" spans="2:5" ht="21.95" customHeight="1" x14ac:dyDescent="0.3">
      <c r="B4" s="18" t="s">
        <v>2</v>
      </c>
      <c r="C4" s="18"/>
      <c r="D4" s="18"/>
      <c r="E4" s="18"/>
    </row>
    <row r="5" spans="2:5" x14ac:dyDescent="0.3">
      <c r="B5" s="2" t="s">
        <v>3</v>
      </c>
      <c r="C5" s="3">
        <v>15000</v>
      </c>
      <c r="D5" s="1" t="s">
        <v>4</v>
      </c>
      <c r="E5" s="1" t="s">
        <v>5</v>
      </c>
    </row>
    <row r="6" spans="2:5" x14ac:dyDescent="0.3">
      <c r="B6" s="2" t="s">
        <v>6</v>
      </c>
      <c r="C6" s="3">
        <v>80</v>
      </c>
      <c r="D6" s="1" t="s">
        <v>7</v>
      </c>
      <c r="E6" s="1" t="s">
        <v>8</v>
      </c>
    </row>
    <row r="7" spans="2:5" x14ac:dyDescent="0.3">
      <c r="B7" s="2" t="s">
        <v>9</v>
      </c>
      <c r="C7" s="3">
        <v>2</v>
      </c>
      <c r="D7" s="1" t="s">
        <v>10</v>
      </c>
      <c r="E7" s="1" t="s">
        <v>11</v>
      </c>
    </row>
    <row r="8" spans="2:5" x14ac:dyDescent="0.3">
      <c r="B8" s="2" t="s">
        <v>12</v>
      </c>
      <c r="C8" s="4">
        <v>4.3449999999999998</v>
      </c>
      <c r="D8" s="1" t="s">
        <v>13</v>
      </c>
      <c r="E8" s="1" t="s">
        <v>14</v>
      </c>
    </row>
    <row r="9" spans="2:5" ht="21.95" customHeight="1" x14ac:dyDescent="0.3">
      <c r="B9" s="18" t="s">
        <v>15</v>
      </c>
      <c r="C9" s="18"/>
      <c r="D9" s="18"/>
      <c r="E9" s="18"/>
    </row>
    <row r="10" spans="2:5" x14ac:dyDescent="0.3">
      <c r="B10" s="2" t="s">
        <v>16</v>
      </c>
      <c r="C10" s="5">
        <v>0.38</v>
      </c>
      <c r="D10" s="1" t="s">
        <v>17</v>
      </c>
      <c r="E10" s="1" t="s">
        <v>18</v>
      </c>
    </row>
    <row r="11" spans="2:5" x14ac:dyDescent="0.3">
      <c r="B11" s="2" t="s">
        <v>19</v>
      </c>
      <c r="C11" s="5">
        <v>0.05</v>
      </c>
      <c r="D11" s="1" t="s">
        <v>17</v>
      </c>
      <c r="E11" s="1" t="s">
        <v>20</v>
      </c>
    </row>
    <row r="12" spans="2:5" x14ac:dyDescent="0.3">
      <c r="B12" s="2" t="s">
        <v>21</v>
      </c>
      <c r="C12" s="3">
        <v>1200</v>
      </c>
      <c r="D12" s="1" t="s">
        <v>4</v>
      </c>
      <c r="E12" s="1" t="s">
        <v>22</v>
      </c>
    </row>
    <row r="13" spans="2:5" x14ac:dyDescent="0.3">
      <c r="B13" s="2" t="s">
        <v>23</v>
      </c>
      <c r="C13" s="3">
        <v>2000</v>
      </c>
      <c r="D13" s="1" t="s">
        <v>4</v>
      </c>
      <c r="E13" s="1" t="s">
        <v>24</v>
      </c>
    </row>
    <row r="14" spans="2:5" x14ac:dyDescent="0.3">
      <c r="B14" s="2" t="s">
        <v>25</v>
      </c>
      <c r="C14" s="5">
        <v>3.3000000000000002E-2</v>
      </c>
      <c r="D14" s="1" t="s">
        <v>17</v>
      </c>
      <c r="E14" s="1" t="s">
        <v>26</v>
      </c>
    </row>
    <row r="15" spans="2:5" x14ac:dyDescent="0.3">
      <c r="B15" s="2" t="s">
        <v>27</v>
      </c>
      <c r="C15" s="3">
        <v>40</v>
      </c>
      <c r="D15" s="1" t="s">
        <v>4</v>
      </c>
      <c r="E15" s="1" t="s">
        <v>28</v>
      </c>
    </row>
    <row r="16" spans="2:5" ht="21.95" customHeight="1" x14ac:dyDescent="0.3">
      <c r="B16" s="18" t="s">
        <v>29</v>
      </c>
      <c r="C16" s="18"/>
      <c r="D16" s="18"/>
      <c r="E16" s="18"/>
    </row>
    <row r="17" spans="2:5" x14ac:dyDescent="0.3">
      <c r="B17" s="2" t="s">
        <v>30</v>
      </c>
      <c r="C17" s="3">
        <v>0</v>
      </c>
      <c r="D17" s="1" t="s">
        <v>4</v>
      </c>
      <c r="E17" s="1" t="s">
        <v>31</v>
      </c>
    </row>
    <row r="18" spans="2:5" x14ac:dyDescent="0.3">
      <c r="B18" s="2" t="s">
        <v>32</v>
      </c>
      <c r="C18" s="3">
        <v>1000000</v>
      </c>
      <c r="D18" s="1" t="s">
        <v>4</v>
      </c>
      <c r="E18" s="1" t="s">
        <v>33</v>
      </c>
    </row>
    <row r="19" spans="2:5" x14ac:dyDescent="0.3">
      <c r="B19" s="2" t="s">
        <v>85</v>
      </c>
      <c r="C19" s="3">
        <v>1000000</v>
      </c>
      <c r="D19" s="1" t="s">
        <v>4</v>
      </c>
      <c r="E19" s="1" t="s">
        <v>86</v>
      </c>
    </row>
    <row r="20" spans="2:5" x14ac:dyDescent="0.3">
      <c r="B20" s="2" t="s">
        <v>34</v>
      </c>
      <c r="C20" s="3">
        <v>1000000</v>
      </c>
      <c r="D20" s="1" t="s">
        <v>4</v>
      </c>
      <c r="E20" s="1" t="s">
        <v>35</v>
      </c>
    </row>
    <row r="21" spans="2:5" x14ac:dyDescent="0.3">
      <c r="B21" s="2" t="s">
        <v>36</v>
      </c>
      <c r="C21" s="3">
        <v>5000000</v>
      </c>
      <c r="D21" s="1" t="s">
        <v>4</v>
      </c>
      <c r="E21" s="1" t="s">
        <v>37</v>
      </c>
    </row>
    <row r="22" spans="2:5" x14ac:dyDescent="0.3">
      <c r="B22" s="2" t="s">
        <v>38</v>
      </c>
      <c r="C22" s="3">
        <v>1000000</v>
      </c>
      <c r="D22" s="1" t="s">
        <v>4</v>
      </c>
      <c r="E22" s="1" t="s">
        <v>39</v>
      </c>
    </row>
  </sheetData>
  <mergeCells count="5">
    <mergeCell ref="B9:E9"/>
    <mergeCell ref="B1:E1"/>
    <mergeCell ref="B4:E4"/>
    <mergeCell ref="B16:E16"/>
    <mergeCell ref="B2:E2"/>
  </mergeCells>
  <phoneticPr fontId="8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E30"/>
  <sheetViews>
    <sheetView showGridLines="0" workbookViewId="0">
      <selection activeCell="G27" sqref="G27"/>
    </sheetView>
  </sheetViews>
  <sheetFormatPr defaultRowHeight="16.5" x14ac:dyDescent="0.3"/>
  <cols>
    <col min="1" max="1" width="3" customWidth="1"/>
    <col min="2" max="2" width="28" customWidth="1"/>
    <col min="3" max="3" width="16" customWidth="1"/>
    <col min="4" max="4" width="14" customWidth="1"/>
    <col min="5" max="5" width="40" customWidth="1"/>
  </cols>
  <sheetData>
    <row r="1" spans="2:5" ht="27.95" customHeight="1" x14ac:dyDescent="0.3">
      <c r="B1" s="19" t="s">
        <v>40</v>
      </c>
      <c r="C1" s="20"/>
      <c r="D1" s="20"/>
      <c r="E1" s="20"/>
    </row>
    <row r="3" spans="2:5" x14ac:dyDescent="0.3">
      <c r="B3" s="18" t="s">
        <v>41</v>
      </c>
      <c r="C3" s="18"/>
      <c r="D3" s="18"/>
      <c r="E3" s="18"/>
    </row>
    <row r="4" spans="2:5" x14ac:dyDescent="0.3">
      <c r="B4" s="2" t="s">
        <v>42</v>
      </c>
      <c r="C4" s="6">
        <f>가정값!$C$7*가정값!$C$8</f>
        <v>8.69</v>
      </c>
      <c r="E4" s="1" t="s">
        <v>43</v>
      </c>
    </row>
    <row r="5" spans="2:5" x14ac:dyDescent="0.3">
      <c r="B5" s="2" t="s">
        <v>44</v>
      </c>
      <c r="C5" s="7">
        <f>가정값!$C$6*손익!$C$4</f>
        <v>695.19999999999993</v>
      </c>
      <c r="E5" s="1" t="s">
        <v>45</v>
      </c>
    </row>
    <row r="6" spans="2:5" x14ac:dyDescent="0.3">
      <c r="B6" s="18" t="s">
        <v>46</v>
      </c>
      <c r="C6" s="18"/>
      <c r="D6" s="18"/>
      <c r="E6" s="18"/>
    </row>
    <row r="7" spans="2:5" x14ac:dyDescent="0.3">
      <c r="B7" s="8" t="s">
        <v>47</v>
      </c>
      <c r="C7" s="9">
        <f>가정값!$C$5*손익!$C$5</f>
        <v>10427999.999999998</v>
      </c>
      <c r="E7" s="1" t="s">
        <v>48</v>
      </c>
    </row>
    <row r="8" spans="2:5" x14ac:dyDescent="0.3">
      <c r="B8" s="18" t="s">
        <v>49</v>
      </c>
      <c r="C8" s="18"/>
      <c r="D8" s="18"/>
      <c r="E8" s="18"/>
    </row>
    <row r="9" spans="2:5" x14ac:dyDescent="0.3">
      <c r="B9" s="2" t="s">
        <v>50</v>
      </c>
      <c r="C9" s="10">
        <f>가정값!$C$5*가정값!$C$10</f>
        <v>5700</v>
      </c>
      <c r="E9" s="1" t="s">
        <v>51</v>
      </c>
    </row>
    <row r="10" spans="2:5" x14ac:dyDescent="0.3">
      <c r="B10" s="2" t="s">
        <v>52</v>
      </c>
      <c r="C10" s="10">
        <f>손익!$C$9*가정값!$C$11</f>
        <v>285</v>
      </c>
      <c r="E10" s="1" t="s">
        <v>53</v>
      </c>
    </row>
    <row r="11" spans="2:5" x14ac:dyDescent="0.3">
      <c r="B11" s="2" t="s">
        <v>54</v>
      </c>
      <c r="C11" s="10">
        <f>가정값!$C$12</f>
        <v>1200</v>
      </c>
    </row>
    <row r="12" spans="2:5" x14ac:dyDescent="0.3">
      <c r="B12" s="2" t="s">
        <v>55</v>
      </c>
      <c r="C12" s="10">
        <f>가정값!$C$13</f>
        <v>2000</v>
      </c>
    </row>
    <row r="13" spans="2:5" x14ac:dyDescent="0.3">
      <c r="B13" s="2" t="s">
        <v>56</v>
      </c>
      <c r="C13" s="10">
        <f>가정값!$C$5*가정값!$C$14</f>
        <v>495</v>
      </c>
      <c r="E13" s="1" t="s">
        <v>57</v>
      </c>
    </row>
    <row r="14" spans="2:5" x14ac:dyDescent="0.3">
      <c r="B14" s="2" t="s">
        <v>58</v>
      </c>
      <c r="C14" s="10">
        <f>가정값!$C$15</f>
        <v>40</v>
      </c>
    </row>
    <row r="15" spans="2:5" x14ac:dyDescent="0.3">
      <c r="B15" s="8" t="s">
        <v>59</v>
      </c>
      <c r="C15" s="9">
        <f>손익!$C$9+손익!$C$10+손익!$C$11+손익!$C$12+손익!$C$13+손익!$C$14</f>
        <v>9720</v>
      </c>
    </row>
    <row r="16" spans="2:5" x14ac:dyDescent="0.3">
      <c r="B16" s="18" t="s">
        <v>60</v>
      </c>
      <c r="C16" s="18"/>
      <c r="D16" s="18"/>
      <c r="E16" s="18"/>
    </row>
    <row r="17" spans="2:5" x14ac:dyDescent="0.3">
      <c r="B17" s="8" t="s">
        <v>61</v>
      </c>
      <c r="C17" s="9">
        <f>손익!$C$7/손익!$C$5-손익!$C$15</f>
        <v>5279.9999999999982</v>
      </c>
      <c r="E17" s="1" t="s">
        <v>62</v>
      </c>
    </row>
    <row r="18" spans="2:5" x14ac:dyDescent="0.3">
      <c r="B18" s="11" t="s">
        <v>63</v>
      </c>
      <c r="C18" s="12">
        <f>손익!$C$17/가정값!$C$5</f>
        <v>0.35199999999999987</v>
      </c>
    </row>
    <row r="19" spans="2:5" x14ac:dyDescent="0.3">
      <c r="B19" s="8" t="s">
        <v>64</v>
      </c>
      <c r="C19" s="9">
        <f>손익!$C$17*손익!$C$5</f>
        <v>3670655.9999999986</v>
      </c>
    </row>
    <row r="20" spans="2:5" x14ac:dyDescent="0.3">
      <c r="B20" s="18" t="s">
        <v>65</v>
      </c>
      <c r="C20" s="18"/>
      <c r="D20" s="18"/>
      <c r="E20" s="18"/>
    </row>
    <row r="21" spans="2:5" x14ac:dyDescent="0.3">
      <c r="B21" s="2" t="s">
        <v>30</v>
      </c>
      <c r="C21" s="10">
        <f>가정값!$C$17</f>
        <v>0</v>
      </c>
    </row>
    <row r="22" spans="2:5" x14ac:dyDescent="0.3">
      <c r="B22" s="2" t="s">
        <v>32</v>
      </c>
      <c r="C22" s="10">
        <f>가정값!$C$18</f>
        <v>1000000</v>
      </c>
    </row>
    <row r="23" spans="2:5" x14ac:dyDescent="0.3">
      <c r="B23" s="2" t="s">
        <v>85</v>
      </c>
      <c r="C23" s="10">
        <v>3000000</v>
      </c>
    </row>
    <row r="24" spans="2:5" x14ac:dyDescent="0.3">
      <c r="B24" s="2" t="s">
        <v>34</v>
      </c>
      <c r="C24" s="10">
        <f>가정값!$C$20</f>
        <v>1000000</v>
      </c>
    </row>
    <row r="25" spans="2:5" x14ac:dyDescent="0.3">
      <c r="B25" s="2" t="s">
        <v>36</v>
      </c>
      <c r="C25" s="10">
        <v>3000000</v>
      </c>
    </row>
    <row r="26" spans="2:5" x14ac:dyDescent="0.3">
      <c r="B26" s="2" t="s">
        <v>38</v>
      </c>
      <c r="C26" s="10">
        <f>가정값!$C$22</f>
        <v>1000000</v>
      </c>
    </row>
    <row r="27" spans="2:5" x14ac:dyDescent="0.3">
      <c r="B27" s="8" t="s">
        <v>66</v>
      </c>
      <c r="C27" s="9">
        <f>손익!$C$21+손익!$C$22+손익!$C$23+손익!$C$24+손익!$C$25+손익!$C$26</f>
        <v>9000000</v>
      </c>
    </row>
    <row r="28" spans="2:5" x14ac:dyDescent="0.3">
      <c r="B28" s="18" t="s">
        <v>67</v>
      </c>
      <c r="C28" s="18"/>
      <c r="D28" s="18"/>
      <c r="E28" s="18"/>
    </row>
    <row r="29" spans="2:5" x14ac:dyDescent="0.3">
      <c r="B29" s="8" t="s">
        <v>68</v>
      </c>
      <c r="C29" s="9">
        <f>손익!$C$19-손익!$C$27</f>
        <v>-5329344.0000000019</v>
      </c>
      <c r="E29" s="1" t="s">
        <v>69</v>
      </c>
    </row>
    <row r="30" spans="2:5" x14ac:dyDescent="0.3">
      <c r="B30" s="11" t="s">
        <v>70</v>
      </c>
      <c r="C30" s="12">
        <f>IF(손익!$C$7=0,0,손익!$C$29/손익!$C$7)</f>
        <v>-0.5110609896432684</v>
      </c>
    </row>
  </sheetData>
  <mergeCells count="7">
    <mergeCell ref="B28:E28"/>
    <mergeCell ref="B1:E1"/>
    <mergeCell ref="B8:E8"/>
    <mergeCell ref="B6:E6"/>
    <mergeCell ref="B16:E16"/>
    <mergeCell ref="B3:E3"/>
    <mergeCell ref="B20:E20"/>
  </mergeCells>
  <phoneticPr fontId="8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I21"/>
  <sheetViews>
    <sheetView showGridLines="0" tabSelected="1" workbookViewId="0">
      <selection activeCell="J13" sqref="J13"/>
    </sheetView>
  </sheetViews>
  <sheetFormatPr defaultRowHeight="16.5" x14ac:dyDescent="0.3"/>
  <cols>
    <col min="1" max="1" width="3" customWidth="1"/>
    <col min="2" max="2" width="26" customWidth="1"/>
    <col min="3" max="3" width="16" customWidth="1"/>
    <col min="4" max="4" width="13.375" customWidth="1"/>
    <col min="5" max="9" width="15" customWidth="1"/>
  </cols>
  <sheetData>
    <row r="1" spans="2:9" ht="27.95" customHeight="1" x14ac:dyDescent="0.3">
      <c r="B1" s="19" t="s">
        <v>71</v>
      </c>
      <c r="C1" s="20"/>
      <c r="D1" s="20"/>
      <c r="E1" s="20"/>
      <c r="F1" s="20"/>
      <c r="G1" s="20"/>
      <c r="H1" s="20"/>
      <c r="I1" s="20"/>
    </row>
    <row r="3" spans="2:9" x14ac:dyDescent="0.3">
      <c r="B3" s="18" t="s">
        <v>72</v>
      </c>
      <c r="C3" s="18"/>
    </row>
    <row r="4" spans="2:9" x14ac:dyDescent="0.3">
      <c r="B4" s="8" t="s">
        <v>73</v>
      </c>
      <c r="C4" s="13">
        <f>손익!$C$27/손익!$C$17</f>
        <v>1704.5454545454552</v>
      </c>
    </row>
    <row r="5" spans="2:9" x14ac:dyDescent="0.3">
      <c r="B5" s="8" t="s">
        <v>74</v>
      </c>
      <c r="C5" s="13">
        <f>손익분기!$C$4/손익!$C$4</f>
        <v>196.15022491892466</v>
      </c>
    </row>
    <row r="6" spans="2:9" x14ac:dyDescent="0.3">
      <c r="B6" s="8" t="s">
        <v>75</v>
      </c>
      <c r="C6" s="9">
        <f>손익분기!$C$4*가정값!$C$5</f>
        <v>25568181.818181828</v>
      </c>
    </row>
    <row r="7" spans="2:9" x14ac:dyDescent="0.3">
      <c r="B7" s="8" t="s">
        <v>76</v>
      </c>
      <c r="C7" s="14">
        <f>IF(손익!$C$5=0,0,(손익!$C$5-손익분기!$C$4)/손익!$C$5)</f>
        <v>-1.4518778114865583</v>
      </c>
    </row>
    <row r="8" spans="2:9" x14ac:dyDescent="0.3">
      <c r="B8" s="8" t="s">
        <v>77</v>
      </c>
      <c r="C8" s="15" t="str">
        <f>IF(손익!$C$29&gt;=0,"흑자 (BEP 통과)","적자 (BEP 미달)")</f>
        <v>적자 (BEP 미달)</v>
      </c>
    </row>
    <row r="10" spans="2:9" x14ac:dyDescent="0.3">
      <c r="B10" s="18" t="s">
        <v>78</v>
      </c>
      <c r="C10" s="18"/>
      <c r="D10" s="18"/>
      <c r="E10" s="18"/>
      <c r="F10" s="18"/>
      <c r="G10" s="18"/>
      <c r="H10" s="18"/>
      <c r="I10" s="18"/>
    </row>
    <row r="11" spans="2:9" ht="30" customHeight="1" x14ac:dyDescent="0.3">
      <c r="B11" s="16" t="s">
        <v>79</v>
      </c>
      <c r="C11" s="16" t="s">
        <v>80</v>
      </c>
      <c r="D11" s="16" t="s">
        <v>81</v>
      </c>
      <c r="E11" s="16" t="s">
        <v>64</v>
      </c>
      <c r="F11" s="16" t="s">
        <v>82</v>
      </c>
      <c r="G11" s="16" t="s">
        <v>68</v>
      </c>
      <c r="H11" s="16" t="s">
        <v>83</v>
      </c>
    </row>
    <row r="12" spans="2:9" x14ac:dyDescent="0.3">
      <c r="B12" s="7">
        <v>20</v>
      </c>
      <c r="C12" s="7">
        <f>$B$12*손익!$C$4</f>
        <v>173.79999999999998</v>
      </c>
      <c r="D12" s="10">
        <f>$C12*가정값!$C$5</f>
        <v>2606999.9999999995</v>
      </c>
      <c r="E12" s="10">
        <f>$C12*손익!$C$17</f>
        <v>917663.99999999965</v>
      </c>
      <c r="F12" s="10">
        <f>손익!$C$27</f>
        <v>9000000</v>
      </c>
      <c r="G12" s="10">
        <f t="shared" ref="G12:G19" si="0">$E12-$F12</f>
        <v>-8082336</v>
      </c>
      <c r="H12" s="17" t="str">
        <f t="shared" ref="H12:H19" si="1">IF($G12&gt;=0,"흑자","적자")</f>
        <v>적자</v>
      </c>
    </row>
    <row r="13" spans="2:9" x14ac:dyDescent="0.3">
      <c r="B13" s="7">
        <v>40</v>
      </c>
      <c r="C13" s="7">
        <f>$B$13*손익!$C$4</f>
        <v>347.59999999999997</v>
      </c>
      <c r="D13" s="10">
        <f>$C13*가정값!$C$5</f>
        <v>5213999.9999999991</v>
      </c>
      <c r="E13" s="10">
        <f>$C13*손익!$C$17</f>
        <v>1835327.9999999993</v>
      </c>
      <c r="F13" s="10">
        <f>손익!$C$27</f>
        <v>9000000</v>
      </c>
      <c r="G13" s="10">
        <f t="shared" si="0"/>
        <v>-7164672.0000000009</v>
      </c>
      <c r="H13" s="17" t="str">
        <f t="shared" si="1"/>
        <v>적자</v>
      </c>
    </row>
    <row r="14" spans="2:9" x14ac:dyDescent="0.3">
      <c r="B14" s="7">
        <v>60</v>
      </c>
      <c r="C14" s="7">
        <f>$B$14*손익!$C$4</f>
        <v>521.4</v>
      </c>
      <c r="D14" s="10">
        <f>$C14*가정값!$C$5</f>
        <v>7821000</v>
      </c>
      <c r="E14" s="10">
        <f>$C14*손익!$C$17</f>
        <v>2752991.9999999991</v>
      </c>
      <c r="F14" s="10">
        <f>손익!$C$27</f>
        <v>9000000</v>
      </c>
      <c r="G14" s="10">
        <f t="shared" si="0"/>
        <v>-6247008.0000000009</v>
      </c>
      <c r="H14" s="17" t="str">
        <f t="shared" si="1"/>
        <v>적자</v>
      </c>
    </row>
    <row r="15" spans="2:9" x14ac:dyDescent="0.3">
      <c r="B15" s="7">
        <v>80</v>
      </c>
      <c r="C15" s="7">
        <f>$B$15*손익!$C$4</f>
        <v>695.19999999999993</v>
      </c>
      <c r="D15" s="10">
        <f>$C15*가정값!$C$5</f>
        <v>10427999.999999998</v>
      </c>
      <c r="E15" s="10">
        <f>$C15*손익!$C$17</f>
        <v>3670655.9999999986</v>
      </c>
      <c r="F15" s="10">
        <f>손익!$C$27</f>
        <v>9000000</v>
      </c>
      <c r="G15" s="10">
        <f t="shared" si="0"/>
        <v>-5329344.0000000019</v>
      </c>
      <c r="H15" s="17" t="str">
        <f t="shared" si="1"/>
        <v>적자</v>
      </c>
    </row>
    <row r="16" spans="2:9" x14ac:dyDescent="0.3">
      <c r="B16" s="7">
        <v>100</v>
      </c>
      <c r="C16" s="7">
        <f>$B$16*손익!$C$4</f>
        <v>869</v>
      </c>
      <c r="D16" s="10">
        <f>$C16*가정값!$C$5</f>
        <v>13035000</v>
      </c>
      <c r="E16" s="10">
        <f>$C16*손익!$C$17</f>
        <v>4588319.9999999981</v>
      </c>
      <c r="F16" s="10">
        <f>손익!$C$27</f>
        <v>9000000</v>
      </c>
      <c r="G16" s="10">
        <f t="shared" si="0"/>
        <v>-4411680.0000000019</v>
      </c>
      <c r="H16" s="17" t="str">
        <f t="shared" si="1"/>
        <v>적자</v>
      </c>
    </row>
    <row r="17" spans="2:8" x14ac:dyDescent="0.3">
      <c r="B17" s="7">
        <v>120</v>
      </c>
      <c r="C17" s="7">
        <f>$B$17*손익!$C$4</f>
        <v>1042.8</v>
      </c>
      <c r="D17" s="10">
        <f>$C17*가정값!$C$5</f>
        <v>15642000</v>
      </c>
      <c r="E17" s="10">
        <f>$C17*손익!$C$17</f>
        <v>5505983.9999999981</v>
      </c>
      <c r="F17" s="10">
        <f>손익!$C$27</f>
        <v>9000000</v>
      </c>
      <c r="G17" s="10">
        <f t="shared" si="0"/>
        <v>-3494016.0000000019</v>
      </c>
      <c r="H17" s="17" t="str">
        <f t="shared" si="1"/>
        <v>적자</v>
      </c>
    </row>
    <row r="18" spans="2:8" x14ac:dyDescent="0.3">
      <c r="B18" s="7">
        <v>150</v>
      </c>
      <c r="C18" s="7">
        <f>$B$18*손익!$C$4</f>
        <v>1303.5</v>
      </c>
      <c r="D18" s="10">
        <f>$C18*가정값!$C$5</f>
        <v>19552500</v>
      </c>
      <c r="E18" s="10">
        <f>$C18*손익!$C$17</f>
        <v>6882479.9999999972</v>
      </c>
      <c r="F18" s="10">
        <f>손익!$C$27</f>
        <v>9000000</v>
      </c>
      <c r="G18" s="10">
        <f t="shared" si="0"/>
        <v>-2117520.0000000028</v>
      </c>
      <c r="H18" s="17" t="str">
        <f t="shared" si="1"/>
        <v>적자</v>
      </c>
    </row>
    <row r="19" spans="2:8" x14ac:dyDescent="0.3">
      <c r="B19" s="7">
        <v>200</v>
      </c>
      <c r="C19" s="7">
        <f>$B$19*손익!$C$4</f>
        <v>1738</v>
      </c>
      <c r="D19" s="10">
        <f>$C19*가정값!$C$5</f>
        <v>26070000</v>
      </c>
      <c r="E19" s="10">
        <f>$C19*손익!$C$17</f>
        <v>9176639.9999999963</v>
      </c>
      <c r="F19" s="10">
        <f>손익!$C$27</f>
        <v>9000000</v>
      </c>
      <c r="G19" s="10">
        <f t="shared" si="0"/>
        <v>176639.99999999627</v>
      </c>
      <c r="H19" s="17" t="str">
        <f t="shared" si="1"/>
        <v>흑자</v>
      </c>
    </row>
    <row r="21" spans="2:8" x14ac:dyDescent="0.3">
      <c r="B21" s="21" t="s">
        <v>84</v>
      </c>
      <c r="C21" s="20"/>
      <c r="D21" s="20"/>
      <c r="E21" s="20"/>
      <c r="F21" s="20"/>
      <c r="G21" s="20"/>
      <c r="H21" s="20"/>
    </row>
  </sheetData>
  <mergeCells count="4">
    <mergeCell ref="B1:I1"/>
    <mergeCell ref="B21:H21"/>
    <mergeCell ref="B10:I10"/>
    <mergeCell ref="B3:C3"/>
  </mergeCells>
  <phoneticPr fontId="8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가정값</vt:lpstr>
      <vt:lpstr>손익</vt:lpstr>
      <vt:lpstr>손익분기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js</cp:lastModifiedBy>
  <dcterms:created xsi:type="dcterms:W3CDTF">2026-05-19T03:19:38Z</dcterms:created>
  <dcterms:modified xsi:type="dcterms:W3CDTF">2026-05-19T08:20:00Z</dcterms:modified>
</cp:coreProperties>
</file>